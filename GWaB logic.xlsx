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sperling/Documents/iCodes/GitHub/GWaB/"/>
    </mc:Choice>
  </mc:AlternateContent>
  <xr:revisionPtr revIDLastSave="0" documentId="13_ncr:1_{34EB0D3C-0E74-EB4C-A0D6-90C1339069B1}" xr6:coauthVersionLast="47" xr6:coauthVersionMax="47" xr10:uidLastSave="{00000000-0000-0000-0000-000000000000}"/>
  <bookViews>
    <workbookView xWindow="-40960" yWindow="-9680" windowWidth="40960" windowHeight="23040" xr2:uid="{C42A8DC7-A4BD-B746-B113-4F524B92956C}"/>
  </bookViews>
  <sheets>
    <sheet name="Irrig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B11" i="1"/>
  <c r="B10" i="1"/>
  <c r="A10" i="1"/>
  <c r="R2" i="1"/>
  <c r="R3" i="1"/>
  <c r="R4" i="1"/>
  <c r="R5" i="1"/>
  <c r="R6" i="1"/>
  <c r="R7" i="1"/>
  <c r="R8" i="1"/>
  <c r="R9" i="1"/>
  <c r="R10" i="1"/>
  <c r="R11" i="1"/>
  <c r="R12" i="1"/>
  <c r="B6" i="1"/>
  <c r="D2" i="1"/>
  <c r="E2" i="1" s="1"/>
  <c r="E24" i="1" l="1"/>
  <c r="H24" i="1" s="1"/>
  <c r="D6" i="1"/>
  <c r="E6" i="1" s="1"/>
  <c r="E17" i="1"/>
  <c r="H17" i="1" s="1"/>
  <c r="E21" i="1"/>
  <c r="H21" i="1" s="1"/>
  <c r="E20" i="1"/>
  <c r="H20" i="1" s="1"/>
  <c r="E16" i="1"/>
  <c r="H16" i="1" s="1"/>
  <c r="E14" i="1"/>
  <c r="E25" i="1"/>
  <c r="H25" i="1" s="1"/>
  <c r="E15" i="1"/>
  <c r="H15" i="1" s="1"/>
  <c r="E19" i="1"/>
  <c r="H19" i="1" s="1"/>
  <c r="E18" i="1"/>
  <c r="H18" i="1" s="1"/>
  <c r="H14" i="1" l="1"/>
  <c r="E22" i="1"/>
  <c r="H22" i="1" s="1"/>
  <c r="E23" i="1"/>
  <c r="H23" i="1" s="1"/>
  <c r="F6" i="1" l="1"/>
  <c r="E10" i="1"/>
  <c r="I23" i="1" l="1"/>
  <c r="K23" i="1" s="1"/>
  <c r="I17" i="1"/>
  <c r="K17" i="1" s="1"/>
  <c r="I21" i="1"/>
  <c r="K21" i="1" s="1"/>
  <c r="I18" i="1"/>
  <c r="K18" i="1" s="1"/>
  <c r="I15" i="1"/>
  <c r="K15" i="1" s="1"/>
  <c r="I24" i="1"/>
  <c r="K24" i="1" s="1"/>
  <c r="I19" i="1"/>
  <c r="K19" i="1" s="1"/>
  <c r="I22" i="1"/>
  <c r="K22" i="1" s="1"/>
  <c r="I16" i="1"/>
  <c r="K16" i="1" s="1"/>
  <c r="I14" i="1"/>
  <c r="I25" i="1"/>
  <c r="K25" i="1" s="1"/>
  <c r="I20" i="1"/>
  <c r="K20" i="1" s="1"/>
  <c r="G10" i="1" l="1"/>
  <c r="H10" i="1" s="1"/>
  <c r="N22" i="1"/>
  <c r="N25" i="1"/>
  <c r="M21" i="1"/>
  <c r="K14" i="1"/>
  <c r="N18" i="1"/>
  <c r="M20" i="1"/>
  <c r="M17" i="1"/>
  <c r="N19" i="1"/>
  <c r="M24" i="1"/>
  <c r="N21" i="1"/>
  <c r="N14" i="1"/>
  <c r="N16" i="1"/>
  <c r="N23" i="1"/>
  <c r="M18" i="1"/>
  <c r="M19" i="1"/>
  <c r="N24" i="1"/>
  <c r="M16" i="1"/>
  <c r="N15" i="1"/>
  <c r="N20" i="1"/>
  <c r="M22" i="1"/>
  <c r="M25" i="1"/>
  <c r="N17" i="1"/>
  <c r="M15" i="1"/>
  <c r="M23" i="1"/>
  <c r="M14" i="1"/>
</calcChain>
</file>

<file path=xl/sharedStrings.xml><?xml version="1.0" encoding="utf-8"?>
<sst xmlns="http://schemas.openxmlformats.org/spreadsheetml/2006/main" count="30" uniqueCount="29">
  <si>
    <t>month</t>
  </si>
  <si>
    <t>Rain</t>
  </si>
  <si>
    <t>ET0</t>
  </si>
  <si>
    <t>irrigation</t>
  </si>
  <si>
    <t>winter irrigation</t>
  </si>
  <si>
    <t>effective rain</t>
  </si>
  <si>
    <t>root capacity</t>
  </si>
  <si>
    <t>monthly extraction</t>
  </si>
  <si>
    <t>IF</t>
  </si>
  <si>
    <t>summer irrigation</t>
  </si>
  <si>
    <t>is irrigation</t>
  </si>
  <si>
    <t>is canopy</t>
  </si>
  <si>
    <t>soil winter storage</t>
  </si>
  <si>
    <t>soil uptake</t>
  </si>
  <si>
    <t>water limit</t>
  </si>
  <si>
    <t>NDVI field</t>
  </si>
  <si>
    <t>NDVI maximal</t>
  </si>
  <si>
    <t>NDVI mid</t>
  </si>
  <si>
    <t>NDVI potential</t>
  </si>
  <si>
    <t>K crop</t>
  </si>
  <si>
    <t>ET crop</t>
  </si>
  <si>
    <t>Irrigation potential</t>
  </si>
  <si>
    <t>K deficit</t>
  </si>
  <si>
    <t>cum irrigation</t>
  </si>
  <si>
    <t>NDVI</t>
  </si>
  <si>
    <t>pNDVI</t>
  </si>
  <si>
    <t>water allocation</t>
  </si>
  <si>
    <t>water budget</t>
  </si>
  <si>
    <t>ET0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</si>
</sst>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" fontId="0" fillId="4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Irrigation!$R$1</c:f>
              <c:strCache>
                <c:ptCount val="1"/>
                <c:pt idx="0">
                  <c:v>pNDVI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Irrigation!$Q$2:$Q$12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Irrigation!$R$2:$R$12</c:f>
              <c:numCache>
                <c:formatCode>General</c:formatCode>
                <c:ptCount val="11"/>
                <c:pt idx="0">
                  <c:v>0</c:v>
                </c:pt>
                <c:pt idx="1">
                  <c:v>0.31477547222989327</c:v>
                </c:pt>
                <c:pt idx="2">
                  <c:v>0.50569644706284611</c:v>
                </c:pt>
                <c:pt idx="3">
                  <c:v>0.62149587188125621</c:v>
                </c:pt>
                <c:pt idx="4">
                  <c:v>0.6917317734107099</c:v>
                </c:pt>
                <c:pt idx="5">
                  <c:v>0.73433200110088093</c:v>
                </c:pt>
                <c:pt idx="6">
                  <c:v>0.76017034530570893</c:v>
                </c:pt>
                <c:pt idx="7">
                  <c:v>0.77584209326214526</c:v>
                </c:pt>
                <c:pt idx="8">
                  <c:v>0.78534748888901262</c:v>
                </c:pt>
                <c:pt idx="9">
                  <c:v>0.79111280276940621</c:v>
                </c:pt>
                <c:pt idx="10">
                  <c:v>0.79460964240073162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2-494F-885E-2DFC94BFA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1200"/>
        <c:axId val="18543296"/>
      </c:scatterChart>
      <c:valAx>
        <c:axId val="1853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8543296"/>
        <c:crosses val="autoZero"/>
        <c:crossBetween val="midCat"/>
      </c:valAx>
      <c:valAx>
        <c:axId val="185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853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513772</xdr:colOff>
      <xdr:row>30</xdr:row>
      <xdr:rowOff>175491</xdr:rowOff>
    </xdr:from>
    <xdr:to>
      <xdr:col>17</xdr:col>
      <xdr:colOff>98136</xdr:colOff>
      <xdr:row>44</xdr:row>
      <xdr:rowOff>9236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0FBBAE-A0B1-64EE-CEE8-258C81CCA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DD34-05EC-1B4E-AA03-28D6E2DD4E54}">
  <dimension ref="A1:R25"/>
  <sheetViews>
    <sheetView tabSelected="1" zoomScale="110" workbookViewId="0">
      <selection activeCell="D28" sqref="D28"/>
    </sheetView>
  </sheetViews>
  <sheetFormatPr baseColWidth="10" defaultRowHeight="16" x14ac:dyDescent="0.2"/>
  <cols>
    <col min="2" max="2" width="17" customWidth="1"/>
    <col min="3" max="3" width="19.33203125" customWidth="1"/>
    <col min="4" max="4" width="15.33203125" customWidth="1"/>
    <col min="5" max="5" width="16.83203125" customWidth="1"/>
    <col min="6" max="6" width="12.6640625" bestFit="1" customWidth="1"/>
    <col min="7" max="8" width="17.83203125" customWidth="1"/>
    <col min="9" max="9" width="10.83203125" customWidth="1"/>
  </cols>
  <sheetData>
    <row r="1" spans="1:18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Q1" t="s">
        <v>24</v>
      </c>
      <c r="R1" t="s">
        <v>25</v>
      </c>
    </row>
    <row r="2" spans="1:18" x14ac:dyDescent="0.2">
      <c r="A2" s="3">
        <v>0.41</v>
      </c>
      <c r="B2" s="5">
        <v>0.8</v>
      </c>
      <c r="C2" s="5">
        <v>0.5</v>
      </c>
      <c r="D2" s="1">
        <f>B2*(1-EXP(-C2*10*A2))</f>
        <v>0.69701207712975666</v>
      </c>
      <c r="E2">
        <f>D2/B2</f>
        <v>0.87126509641219574</v>
      </c>
      <c r="Q2">
        <v>0</v>
      </c>
      <c r="R2" s="1">
        <f>$B$2*(1-EXP(-Q2*10*$C$2))</f>
        <v>0</v>
      </c>
    </row>
    <row r="3" spans="1:18" x14ac:dyDescent="0.2">
      <c r="Q3">
        <v>0.1</v>
      </c>
      <c r="R3" s="1">
        <f t="shared" ref="R3:R12" si="0">$B$2*(1-EXP(-Q3*10*$C$2))</f>
        <v>0.31477547222989327</v>
      </c>
    </row>
    <row r="4" spans="1:18" x14ac:dyDescent="0.2">
      <c r="Q4">
        <v>0.2</v>
      </c>
      <c r="R4" s="1">
        <f t="shared" si="0"/>
        <v>0.50569644706284611</v>
      </c>
    </row>
    <row r="5" spans="1:18" ht="17" thickBot="1" x14ac:dyDescent="0.25">
      <c r="A5" t="s">
        <v>1</v>
      </c>
      <c r="B5" t="s">
        <v>5</v>
      </c>
      <c r="C5" t="s">
        <v>6</v>
      </c>
      <c r="D5" t="s">
        <v>4</v>
      </c>
      <c r="E5" t="s">
        <v>12</v>
      </c>
      <c r="F5" t="s">
        <v>7</v>
      </c>
      <c r="Q5">
        <v>0.3</v>
      </c>
      <c r="R5" s="1">
        <f t="shared" si="0"/>
        <v>0.62149587188125621</v>
      </c>
    </row>
    <row r="6" spans="1:18" ht="17" thickBot="1" x14ac:dyDescent="0.25">
      <c r="A6" s="8">
        <v>278</v>
      </c>
      <c r="B6">
        <f>A6*0.75</f>
        <v>208.5</v>
      </c>
      <c r="C6" s="5">
        <v>400</v>
      </c>
      <c r="D6" s="8">
        <f>C6-B6</f>
        <v>191.5</v>
      </c>
      <c r="E6" s="6">
        <f>B6+D6</f>
        <v>400</v>
      </c>
      <c r="F6" s="6">
        <f>(E6-SUM(H14:H25))/SUM(G14:G25)</f>
        <v>44.073880696674209</v>
      </c>
      <c r="Q6">
        <v>0.4</v>
      </c>
      <c r="R6" s="1">
        <f t="shared" si="0"/>
        <v>0.6917317734107099</v>
      </c>
    </row>
    <row r="7" spans="1:18" x14ac:dyDescent="0.2">
      <c r="Q7">
        <v>0.5</v>
      </c>
      <c r="R7" s="1">
        <f t="shared" si="0"/>
        <v>0.73433200110088093</v>
      </c>
    </row>
    <row r="8" spans="1:18" x14ac:dyDescent="0.2">
      <c r="Q8">
        <v>0.6</v>
      </c>
      <c r="R8" s="1">
        <f t="shared" si="0"/>
        <v>0.76017034530570893</v>
      </c>
    </row>
    <row r="9" spans="1:18" ht="17" thickBot="1" x14ac:dyDescent="0.25">
      <c r="A9" t="s">
        <v>28</v>
      </c>
      <c r="B9" t="s">
        <v>20</v>
      </c>
      <c r="C9" t="s">
        <v>21</v>
      </c>
      <c r="D9" t="s">
        <v>14</v>
      </c>
      <c r="E9" t="s">
        <v>22</v>
      </c>
      <c r="G9" t="s">
        <v>9</v>
      </c>
      <c r="H9" t="s">
        <v>26</v>
      </c>
      <c r="Q9">
        <v>0.7</v>
      </c>
      <c r="R9" s="1">
        <f t="shared" si="0"/>
        <v>0.77584209326214526</v>
      </c>
    </row>
    <row r="10" spans="1:18" ht="17" thickBot="1" x14ac:dyDescent="0.25">
      <c r="A10" s="2">
        <f>SUM(C16:C23)</f>
        <v>1275</v>
      </c>
      <c r="B10">
        <f>A10*E2</f>
        <v>1110.8629979255495</v>
      </c>
      <c r="C10">
        <f>B10-B6-D6</f>
        <v>710.86299792554951</v>
      </c>
      <c r="D10" s="8">
        <v>1500</v>
      </c>
      <c r="E10">
        <f>MIN(C10,D10)/C10</f>
        <v>1</v>
      </c>
      <c r="G10">
        <f>SUM(I14:I25)</f>
        <v>710.86299792554951</v>
      </c>
      <c r="H10">
        <f>G10+D6</f>
        <v>902.36299792554951</v>
      </c>
      <c r="Q10">
        <v>0.8</v>
      </c>
      <c r="R10" s="1">
        <f t="shared" si="0"/>
        <v>0.78534748888901262</v>
      </c>
    </row>
    <row r="11" spans="1:18" x14ac:dyDescent="0.2">
      <c r="B11">
        <f>SUM(E14:E25)</f>
        <v>1110.8629979255495</v>
      </c>
      <c r="Q11">
        <v>0.9</v>
      </c>
      <c r="R11" s="1">
        <f t="shared" si="0"/>
        <v>0.79111280276940621</v>
      </c>
    </row>
    <row r="12" spans="1:18" x14ac:dyDescent="0.2">
      <c r="Q12">
        <v>1</v>
      </c>
      <c r="R12" s="1">
        <f t="shared" si="0"/>
        <v>0.79460964240073162</v>
      </c>
    </row>
    <row r="13" spans="1:18" ht="17" thickBot="1" x14ac:dyDescent="0.25">
      <c r="A13" t="s">
        <v>0</v>
      </c>
      <c r="C13" t="s">
        <v>2</v>
      </c>
      <c r="D13" t="s">
        <v>11</v>
      </c>
      <c r="E13" t="s">
        <v>20</v>
      </c>
      <c r="G13" t="s">
        <v>10</v>
      </c>
      <c r="H13" t="s">
        <v>13</v>
      </c>
      <c r="I13" t="s">
        <v>3</v>
      </c>
      <c r="K13" t="s">
        <v>8</v>
      </c>
      <c r="M13" t="s">
        <v>23</v>
      </c>
      <c r="N13" t="s">
        <v>27</v>
      </c>
    </row>
    <row r="14" spans="1:18" x14ac:dyDescent="0.2">
      <c r="A14">
        <v>1</v>
      </c>
      <c r="C14" s="4">
        <v>75</v>
      </c>
      <c r="D14" s="5">
        <v>0</v>
      </c>
      <c r="E14">
        <f>C14*$E$2*D14</f>
        <v>0</v>
      </c>
      <c r="F14" s="1"/>
      <c r="G14" s="9">
        <v>0</v>
      </c>
      <c r="H14" s="6">
        <f>E14*(D14-G14)</f>
        <v>0</v>
      </c>
      <c r="I14">
        <f>MAX((E14-$F$6)*G14*$E$10,0)</f>
        <v>0</v>
      </c>
      <c r="K14">
        <f>I14/C14</f>
        <v>0</v>
      </c>
      <c r="M14">
        <f>SUM(I14)+$D$6</f>
        <v>191.5</v>
      </c>
      <c r="N14" s="7">
        <f>$E$6-SUM(E14)+SUM(I14)</f>
        <v>400</v>
      </c>
    </row>
    <row r="15" spans="1:18" x14ac:dyDescent="0.2">
      <c r="A15">
        <v>2</v>
      </c>
      <c r="C15" s="4">
        <v>70</v>
      </c>
      <c r="D15" s="5">
        <v>0</v>
      </c>
      <c r="E15">
        <f>C15*$E$2*D15</f>
        <v>0</v>
      </c>
      <c r="F15" s="1"/>
      <c r="G15" s="10">
        <v>0</v>
      </c>
      <c r="H15" s="6">
        <f>E15*(D15-G15)</f>
        <v>0</v>
      </c>
      <c r="I15">
        <f>MAX((E15-$F$6)*G15*$E$10,0)</f>
        <v>0</v>
      </c>
      <c r="K15">
        <f>I15/C15</f>
        <v>0</v>
      </c>
      <c r="M15">
        <f>SUM(I14:I15)+$D$6</f>
        <v>191.5</v>
      </c>
      <c r="N15" s="7">
        <f>$E$6-SUM(E14:E15)+SUM(I14:I15)</f>
        <v>400</v>
      </c>
    </row>
    <row r="16" spans="1:18" x14ac:dyDescent="0.2">
      <c r="A16">
        <v>3</v>
      </c>
      <c r="C16" s="4">
        <v>105</v>
      </c>
      <c r="D16" s="5">
        <v>1</v>
      </c>
      <c r="E16">
        <f>C16*$E$2*D16</f>
        <v>91.482835123280552</v>
      </c>
      <c r="F16" s="1"/>
      <c r="G16" s="10">
        <v>0</v>
      </c>
      <c r="H16" s="6">
        <f>E16*(D16-G16)</f>
        <v>91.482835123280552</v>
      </c>
      <c r="I16">
        <f>MAX((E16-$F$6)*G16*$E$10, 0)</f>
        <v>0</v>
      </c>
      <c r="J16" s="1"/>
      <c r="K16">
        <f>I16/C16</f>
        <v>0</v>
      </c>
      <c r="M16">
        <f>SUM(I14:I16)+$D$6</f>
        <v>191.5</v>
      </c>
      <c r="N16" s="7">
        <f>$E$6-SUM(E14:E16)+SUM(I14:I16)</f>
        <v>308.51716487671945</v>
      </c>
    </row>
    <row r="17" spans="1:14" x14ac:dyDescent="0.2">
      <c r="A17">
        <v>4</v>
      </c>
      <c r="C17" s="4">
        <v>135</v>
      </c>
      <c r="D17" s="5">
        <v>1</v>
      </c>
      <c r="E17">
        <f>C17*$E$2*D17</f>
        <v>117.62078801564643</v>
      </c>
      <c r="F17" s="1"/>
      <c r="G17" s="10">
        <v>1</v>
      </c>
      <c r="H17" s="6">
        <f>E17*(D17-G17)</f>
        <v>0</v>
      </c>
      <c r="I17">
        <f>MAX((E17-$F$6)*G17*$E$10,0)</f>
        <v>73.546907318972217</v>
      </c>
      <c r="J17" s="1"/>
      <c r="K17">
        <f>I17/C17</f>
        <v>0.54479190606646088</v>
      </c>
      <c r="M17">
        <f>SUM(I14:I17)+$D$6</f>
        <v>265.04690731897222</v>
      </c>
      <c r="N17" s="7">
        <f>$E$6-SUM(E14:E17)+SUM(I14:I17)</f>
        <v>264.44328418004523</v>
      </c>
    </row>
    <row r="18" spans="1:14" x14ac:dyDescent="0.2">
      <c r="A18">
        <v>5</v>
      </c>
      <c r="C18" s="4">
        <v>180</v>
      </c>
      <c r="D18" s="5">
        <v>1</v>
      </c>
      <c r="E18">
        <f>C18*$E$2*D18</f>
        <v>156.82771735419524</v>
      </c>
      <c r="F18" s="1"/>
      <c r="G18" s="10">
        <v>1</v>
      </c>
      <c r="H18" s="6">
        <f>E18*(D18-G18)</f>
        <v>0</v>
      </c>
      <c r="I18">
        <f>MAX((E18-$F$6)*G18*$E$10,0)</f>
        <v>112.75383665752103</v>
      </c>
      <c r="J18" s="1"/>
      <c r="K18">
        <f>I18/C18</f>
        <v>0.62641020365289468</v>
      </c>
      <c r="M18">
        <f>SUM(I14:I18)+$D$6</f>
        <v>377.80074397649327</v>
      </c>
      <c r="N18" s="7">
        <f>$E$6-SUM(E14:E18)+SUM(I14:I18)</f>
        <v>220.36940348337106</v>
      </c>
    </row>
    <row r="19" spans="1:14" x14ac:dyDescent="0.2">
      <c r="A19">
        <v>6</v>
      </c>
      <c r="C19" s="4">
        <v>190</v>
      </c>
      <c r="D19" s="5">
        <v>1</v>
      </c>
      <c r="E19">
        <f>C19*$E$2*D19</f>
        <v>165.54036831831718</v>
      </c>
      <c r="F19" s="1"/>
      <c r="G19" s="10">
        <v>1</v>
      </c>
      <c r="H19" s="6">
        <f>E19*(D19-G19)</f>
        <v>0</v>
      </c>
      <c r="I19">
        <f>MAX((E19-$F$6)*G19*$E$10,0)</f>
        <v>121.46648762164297</v>
      </c>
      <c r="J19" s="1"/>
      <c r="K19">
        <f>I19/C19</f>
        <v>0.63929730327180512</v>
      </c>
      <c r="M19">
        <f>SUM(I14:I19)+$D$6</f>
        <v>499.26723159813622</v>
      </c>
      <c r="N19" s="7">
        <f>$E$6-SUM(E14:E19)+SUM(I14:I19)</f>
        <v>176.29552278669684</v>
      </c>
    </row>
    <row r="20" spans="1:14" x14ac:dyDescent="0.2">
      <c r="A20">
        <v>7</v>
      </c>
      <c r="C20" s="4">
        <v>200</v>
      </c>
      <c r="D20" s="5">
        <v>1</v>
      </c>
      <c r="E20">
        <f>C20*$E$2*D20</f>
        <v>174.25301928243914</v>
      </c>
      <c r="F20" s="1"/>
      <c r="G20" s="10">
        <v>1</v>
      </c>
      <c r="H20" s="6">
        <f>E20*(D20-G20)</f>
        <v>0</v>
      </c>
      <c r="I20">
        <f>MAX((E20-$F$6)*G20*$E$10,0)</f>
        <v>130.17913858576492</v>
      </c>
      <c r="J20" s="1"/>
      <c r="K20">
        <f>I20/C20</f>
        <v>0.65089569292882454</v>
      </c>
      <c r="M20">
        <f>SUM(I14:I20)+$D$6</f>
        <v>629.44637018390108</v>
      </c>
      <c r="N20" s="7">
        <f>$E$6-SUM(E14:E20)+SUM(I14:I20)</f>
        <v>132.22164209002261</v>
      </c>
    </row>
    <row r="21" spans="1:14" x14ac:dyDescent="0.2">
      <c r="A21">
        <v>8</v>
      </c>
      <c r="C21" s="4">
        <v>185</v>
      </c>
      <c r="D21" s="5">
        <v>1</v>
      </c>
      <c r="E21">
        <f>C21*$E$2*D21</f>
        <v>161.18404283625622</v>
      </c>
      <c r="F21" s="1"/>
      <c r="G21" s="10">
        <v>1</v>
      </c>
      <c r="H21" s="6">
        <f>E21*(D21-G21)</f>
        <v>0</v>
      </c>
      <c r="I21">
        <f>MAX((E21-$F$6)*G21*$E$10,0)</f>
        <v>117.11016213958202</v>
      </c>
      <c r="J21" s="1"/>
      <c r="K21">
        <f>I21/C21</f>
        <v>0.63302790345720006</v>
      </c>
      <c r="M21">
        <f>SUM(I14:I21)+$D$6</f>
        <v>746.55653232348311</v>
      </c>
      <c r="N21" s="7">
        <f>$E$6-SUM(E14:E21)+SUM(I14:I21)</f>
        <v>88.147761393348333</v>
      </c>
    </row>
    <row r="22" spans="1:14" x14ac:dyDescent="0.2">
      <c r="A22">
        <v>9</v>
      </c>
      <c r="C22" s="4">
        <v>155</v>
      </c>
      <c r="D22" s="5">
        <v>1</v>
      </c>
      <c r="E22">
        <f>C22*$E$2*D22</f>
        <v>135.04608994389034</v>
      </c>
      <c r="F22" s="1"/>
      <c r="G22" s="10">
        <v>1</v>
      </c>
      <c r="H22" s="6">
        <f>E22*(D22-G22)</f>
        <v>0</v>
      </c>
      <c r="I22">
        <f>MAX((E22-$F$6)*G22*$E$10,0)</f>
        <v>90.972209247216128</v>
      </c>
      <c r="J22" s="1"/>
      <c r="K22">
        <f>I22/C22</f>
        <v>0.58691747901429758</v>
      </c>
      <c r="M22">
        <f>SUM(I14:I22)+$D$6</f>
        <v>837.52874157069925</v>
      </c>
      <c r="N22" s="7">
        <f>$E$6-SUM(E14:E22)+SUM(I14:I22)</f>
        <v>44.073880696674109</v>
      </c>
    </row>
    <row r="23" spans="1:14" x14ac:dyDescent="0.2">
      <c r="A23">
        <v>10</v>
      </c>
      <c r="C23" s="4">
        <v>125</v>
      </c>
      <c r="D23" s="5">
        <v>1</v>
      </c>
      <c r="E23">
        <f>C23*$E$2*D23</f>
        <v>108.90813705152446</v>
      </c>
      <c r="F23" s="1"/>
      <c r="G23" s="10">
        <v>1</v>
      </c>
      <c r="H23" s="6">
        <f>E23*(D23-G23)</f>
        <v>0</v>
      </c>
      <c r="I23">
        <f>MAX((E23-$F$6)*G23*$E$10,0)</f>
        <v>64.834256354850254</v>
      </c>
      <c r="J23" s="1"/>
      <c r="K23">
        <f>I23/C23</f>
        <v>0.51867405083880203</v>
      </c>
      <c r="M23">
        <f>SUM(I14:I23)+$D$6</f>
        <v>902.36299792554951</v>
      </c>
      <c r="N23" s="7">
        <f>$E$6-SUM(E14:E23)+SUM(I14:I23)</f>
        <v>0</v>
      </c>
    </row>
    <row r="24" spans="1:14" x14ac:dyDescent="0.2">
      <c r="A24">
        <v>11</v>
      </c>
      <c r="C24" s="4">
        <v>85</v>
      </c>
      <c r="D24" s="5">
        <v>0</v>
      </c>
      <c r="E24">
        <f>C24*$E$2*D24</f>
        <v>0</v>
      </c>
      <c r="F24" s="1"/>
      <c r="G24" s="10">
        <v>0</v>
      </c>
      <c r="H24" s="6">
        <f>E24*(D24-G24)</f>
        <v>0</v>
      </c>
      <c r="I24">
        <f>MAX((E24-$F$6)*G24*$E$10,0)</f>
        <v>0</v>
      </c>
      <c r="K24">
        <f>I24/C24</f>
        <v>0</v>
      </c>
      <c r="M24">
        <f>SUM(I14:I24)+$D$6</f>
        <v>902.36299792554951</v>
      </c>
      <c r="N24" s="7">
        <f>$E$6-SUM(E14:E24)+SUM(I14:I24)</f>
        <v>0</v>
      </c>
    </row>
    <row r="25" spans="1:14" ht="17" thickBot="1" x14ac:dyDescent="0.25">
      <c r="A25">
        <v>12</v>
      </c>
      <c r="C25" s="4">
        <v>70</v>
      </c>
      <c r="D25" s="5">
        <v>0</v>
      </c>
      <c r="E25">
        <f>C25*$E$2*D25</f>
        <v>0</v>
      </c>
      <c r="G25" s="11">
        <v>0</v>
      </c>
      <c r="H25" s="6">
        <f>E25*(D25-G25)</f>
        <v>0</v>
      </c>
      <c r="I25">
        <f>MAX((E25-$F$6)*G25*$E$10,0)</f>
        <v>0</v>
      </c>
      <c r="K25">
        <f>I25/C25</f>
        <v>0</v>
      </c>
      <c r="M25">
        <f>SUM(I14:I25)+$D$6</f>
        <v>902.36299792554951</v>
      </c>
      <c r="N25" s="7">
        <f>$E$6-SUM(E14:E25)+SUM(I14:I25)</f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 Sperling</dc:creator>
  <cp:lastModifiedBy>Or Sperling</cp:lastModifiedBy>
  <dcterms:created xsi:type="dcterms:W3CDTF">2025-09-29T14:21:26Z</dcterms:created>
  <dcterms:modified xsi:type="dcterms:W3CDTF">2026-03-15T14:36:50Z</dcterms:modified>
</cp:coreProperties>
</file>