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sperling/Documents/iCodes/GitHub/GWaB/"/>
    </mc:Choice>
  </mc:AlternateContent>
  <xr:revisionPtr revIDLastSave="0" documentId="13_ncr:1_{35E86FC7-12C6-E04E-9E53-981645B77E00}" xr6:coauthVersionLast="47" xr6:coauthVersionMax="47" xr10:uidLastSave="{00000000-0000-0000-0000-000000000000}"/>
  <bookViews>
    <workbookView xWindow="-44720" yWindow="-7060" windowWidth="29400" windowHeight="18360" xr2:uid="{90F1F9F4-99D6-6743-BC48-A08339EBB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B3" i="1"/>
  <c r="B4" i="1"/>
  <c r="B5" i="1"/>
  <c r="B6" i="1"/>
  <c r="B7" i="1"/>
  <c r="B8" i="1"/>
  <c r="B9" i="1"/>
  <c r="B10" i="1"/>
  <c r="B11" i="1"/>
  <c r="B12" i="1"/>
  <c r="B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<sst xmlns="http://schemas.openxmlformats.org/spreadsheetml/2006/main" count="15" uniqueCount="15">
  <si>
    <t>NDVI</t>
  </si>
  <si>
    <t>L</t>
  </si>
  <si>
    <t>K</t>
  </si>
  <si>
    <t>x0</t>
  </si>
  <si>
    <t>IF</t>
  </si>
  <si>
    <t>pNDVI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</si>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</sst>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Sheet1!$C$2:$C$12</c:f>
              <c:numCache>
                <c:formatCode>0.00</c:formatCode>
                <c:ptCount val="11"/>
                <c:pt idx="0">
                  <c:v>0</c:v>
                </c:pt>
                <c:pt idx="1">
                  <c:v>0.13299850187033282</c:v>
                </c:pt>
                <c:pt idx="2">
                  <c:v>0.26597786689138925</c:v>
                </c:pt>
                <c:pt idx="3">
                  <c:v>0.39875521030749317</c:v>
                </c:pt>
                <c:pt idx="4">
                  <c:v>0.52962582028500393</c:v>
                </c:pt>
                <c:pt idx="5">
                  <c:v>0.64533151786635057</c:v>
                </c:pt>
                <c:pt idx="6">
                  <c:v>0.69899999999999995</c:v>
                </c:pt>
                <c:pt idx="7">
                  <c:v>0.72753587498710903</c:v>
                </c:pt>
                <c:pt idx="8">
                  <c:v>0.80474835942999212</c:v>
                </c:pt>
                <c:pt idx="9">
                  <c:v>0.90073436907752058</c:v>
                </c:pt>
                <c:pt idx="10">
                  <c:v>1.0001106655430538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B1-5C44-A2C7-51959A08E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43775"/>
        <c:axId val="300670208"/>
      </c:scatterChart>
      <c:valAx>
        <c:axId val="46314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300670208"/>
        <c:crosses val="autoZero"/>
        <c:crossBetween val="midCat"/>
      </c:valAx>
      <c:valAx>
        <c:axId val="3006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6314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</xdr:colOff>
      <xdr:row>13</xdr:row>
      <xdr:rowOff>184150</xdr:rowOff>
    </xdr:from>
    <xdr:to>
      <xdr:col>13</xdr:col>
      <xdr:colOff>546100</xdr:colOff>
      <xdr:row>27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0964F-C138-6C65-F1B8-7445A1CF0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2D76-6A32-8749-8D72-A8766B2E0E96}">
  <dimension ref="A1:H30"/>
  <sheetViews>
    <sheetView tabSelected="1" workbookViewId="0">
      <selection activeCell="C29" sqref="C29"/>
    </sheetView>
  </sheetViews>
  <sheetFormatPr baseColWidth="10" defaultRowHeight="16" x14ac:dyDescent="0.2"/>
  <cols>
    <col min="2" max="2" width="12.1640625" style="1" bestFit="1" customWidth="1"/>
  </cols>
  <sheetData>
    <row r="1" spans="1:8" x14ac:dyDescent="0.2">
      <c r="A1" t="s">
        <v>0</v>
      </c>
      <c r="B1" s="1" t="s">
        <v>4</v>
      </c>
      <c r="C1" t="s">
        <v>5</v>
      </c>
      <c r="F1" t="s">
        <v>1</v>
      </c>
      <c r="G1" t="s">
        <v>2</v>
      </c>
      <c r="H1" t="s">
        <v>3</v>
      </c>
    </row>
    <row r="2" spans="1:8" x14ac:dyDescent="0.2">
      <c r="A2">
        <v>0</v>
      </c>
      <c r="B2" s="1">
        <f>$F$2/(1+EXP(-$H$2*(A2-$G$2)))</f>
        <v>0.32999797242238127</v>
      </c>
      <c r="C2" s="1">
        <f t="shared" ref="C2:C12" si="0">(1+$F$2/(1+EXP(-$H$2*(A2-$G$2))))*A2</f>
        <v>0</v>
      </c>
      <c r="F2">
        <v>0.33</v>
      </c>
      <c r="G2">
        <v>0.6</v>
      </c>
      <c r="H2">
        <v>-20</v>
      </c>
    </row>
    <row r="3" spans="1:8" x14ac:dyDescent="0.2">
      <c r="A3">
        <v>0.1</v>
      </c>
      <c r="B3" s="1">
        <f t="shared" ref="B3:B12" si="1">$F$2/(1+EXP(-$H$2*(A3-$G$2)))</f>
        <v>0.32998501870332819</v>
      </c>
      <c r="C3" s="1">
        <f t="shared" si="0"/>
        <v>0.13299850187033282</v>
      </c>
    </row>
    <row r="4" spans="1:8" x14ac:dyDescent="0.2">
      <c r="A4">
        <v>0.2</v>
      </c>
      <c r="B4" s="1">
        <f t="shared" si="1"/>
        <v>0.32988933445694613</v>
      </c>
      <c r="C4" s="1">
        <f t="shared" si="0"/>
        <v>0.26597786689138925</v>
      </c>
    </row>
    <row r="5" spans="1:8" x14ac:dyDescent="0.2">
      <c r="A5">
        <v>0.3</v>
      </c>
      <c r="B5" s="1">
        <f t="shared" si="1"/>
        <v>0.32918403435831056</v>
      </c>
      <c r="C5" s="1">
        <f t="shared" si="0"/>
        <v>0.39875521030749317</v>
      </c>
    </row>
    <row r="6" spans="1:8" x14ac:dyDescent="0.2">
      <c r="A6">
        <v>0.4</v>
      </c>
      <c r="B6" s="1">
        <f t="shared" si="1"/>
        <v>0.32406455071250978</v>
      </c>
      <c r="C6" s="1">
        <f t="shared" si="0"/>
        <v>0.52962582028500393</v>
      </c>
    </row>
    <row r="7" spans="1:8" x14ac:dyDescent="0.2">
      <c r="A7">
        <v>0.5</v>
      </c>
      <c r="B7" s="1">
        <f t="shared" si="1"/>
        <v>0.29066303573270119</v>
      </c>
      <c r="C7" s="1">
        <f t="shared" si="0"/>
        <v>0.64533151786635057</v>
      </c>
    </row>
    <row r="8" spans="1:8" x14ac:dyDescent="0.2">
      <c r="A8">
        <v>0.6</v>
      </c>
      <c r="B8" s="1">
        <f t="shared" si="1"/>
        <v>0.16500000000000001</v>
      </c>
      <c r="C8" s="1">
        <f t="shared" si="0"/>
        <v>0.69899999999999995</v>
      </c>
    </row>
    <row r="9" spans="1:8" x14ac:dyDescent="0.2">
      <c r="A9">
        <v>0.7</v>
      </c>
      <c r="B9" s="1">
        <f t="shared" si="1"/>
        <v>3.933696426729881E-2</v>
      </c>
      <c r="C9" s="1">
        <f t="shared" si="0"/>
        <v>0.72753587498710903</v>
      </c>
    </row>
    <row r="10" spans="1:8" x14ac:dyDescent="0.2">
      <c r="A10">
        <v>0.8</v>
      </c>
      <c r="B10" s="1">
        <f t="shared" si="1"/>
        <v>5.9354492874902041E-3</v>
      </c>
      <c r="C10" s="1">
        <f t="shared" si="0"/>
        <v>0.80474835942999212</v>
      </c>
    </row>
    <row r="11" spans="1:8" x14ac:dyDescent="0.2">
      <c r="A11">
        <v>0.9</v>
      </c>
      <c r="B11" s="1">
        <f t="shared" si="1"/>
        <v>8.1596564168947476E-4</v>
      </c>
      <c r="C11" s="1">
        <f t="shared" si="0"/>
        <v>0.90073436907752058</v>
      </c>
    </row>
    <row r="12" spans="1:8" x14ac:dyDescent="0.2">
      <c r="A12">
        <v>1</v>
      </c>
      <c r="B12" s="1">
        <f t="shared" si="1"/>
        <v>1.1066554305393778E-4</v>
      </c>
      <c r="C12" s="1">
        <f t="shared" si="0"/>
        <v>1.0001106655430538</v>
      </c>
    </row>
    <row r="20" spans="2:3" x14ac:dyDescent="0.2">
      <c r="B20" s="1" t="s">
        <v>6</v>
      </c>
      <c r="C20">
        <v>3.2</v>
      </c>
    </row>
    <row r="21" spans="2:3" x14ac:dyDescent="0.2">
      <c r="B21" s="1" t="s">
        <v>7</v>
      </c>
      <c r="C21">
        <v>4.4000000000000004</v>
      </c>
    </row>
    <row r="22" spans="2:3" x14ac:dyDescent="0.2">
      <c r="B22" s="1" t="s">
        <v>8</v>
      </c>
      <c r="C22">
        <v>5.5</v>
      </c>
    </row>
    <row r="23" spans="2:3" x14ac:dyDescent="0.2">
      <c r="B23" s="1" t="s">
        <v>9</v>
      </c>
      <c r="C23">
        <v>6</v>
      </c>
    </row>
    <row r="24" spans="2:3" x14ac:dyDescent="0.2">
      <c r="B24" s="1" t="s">
        <v>10</v>
      </c>
      <c r="C24">
        <v>6.1</v>
      </c>
    </row>
    <row r="25" spans="2:3" x14ac:dyDescent="0.2">
      <c r="B25" s="1" t="s">
        <v>11</v>
      </c>
      <c r="C25">
        <v>5.6</v>
      </c>
    </row>
    <row r="26" spans="2:3" x14ac:dyDescent="0.2">
      <c r="B26" s="1" t="s">
        <v>12</v>
      </c>
      <c r="C26">
        <v>4.9000000000000004</v>
      </c>
    </row>
    <row r="27" spans="2:3" x14ac:dyDescent="0.2">
      <c r="B27" s="1" t="s">
        <v>13</v>
      </c>
      <c r="C27">
        <v>3.7</v>
      </c>
    </row>
    <row r="28" spans="2:3" x14ac:dyDescent="0.2">
      <c r="B28" s="1" t="s">
        <v>14</v>
      </c>
      <c r="C28">
        <v>2.7</v>
      </c>
    </row>
    <row r="30" spans="2:3" x14ac:dyDescent="0.2">
      <c r="C30">
        <f>SUM(C20:C28)*30</f>
        <v>1263.0000000000002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 Sperling</dc:creator>
  <cp:lastModifiedBy>Or Sperling</cp:lastModifiedBy>
  <dcterms:created xsi:type="dcterms:W3CDTF">2025-09-02T06:15:18Z</dcterms:created>
  <dcterms:modified xsi:type="dcterms:W3CDTF">2025-09-02T15:03:47Z</dcterms:modified>
</cp:coreProperties>
</file>